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  <sheet name="Contact list" sheetId="3" state="visible" r:id="rId5"/>
  </sheets>
  <definedNames>
    <definedName function="false" hidden="true" localSheetId="0" name="_xlnm._FilterDatabase" vbProcedure="false">'Sales data'!$A$3:$H$93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<sst xmlns="http://schemas.openxmlformats.org/spreadsheetml/2006/main" count="459" uniqueCount="90">
  <si>
    <t xml:space="preserve">DEMO DATA — fictional sample records created for a demonstration. Not client data.</t>
  </si>
  <si>
    <t xml:space="preserve">Date</t>
  </si>
  <si>
    <t xml:space="preserve">Product</t>
  </si>
  <si>
    <t xml:space="preserve">Category</t>
  </si>
  <si>
    <t xml:space="preserve">Qty</t>
  </si>
  <si>
    <t xml:space="preserve">Unit price (₦)</t>
  </si>
  <si>
    <t xml:space="preserve">Revenue (₦)</t>
  </si>
  <si>
    <t xml:space="preserve">Location</t>
  </si>
  <si>
    <t xml:space="preserve">Customer type</t>
  </si>
  <si>
    <t xml:space="preserve">Sparkling water</t>
  </si>
  <si>
    <t xml:space="preserve">Beverages</t>
  </si>
  <si>
    <t xml:space="preserve">Abuja</t>
  </si>
  <si>
    <t xml:space="preserve">Wholesale</t>
  </si>
  <si>
    <t xml:space="preserve">Zobo drink</t>
  </si>
  <si>
    <t xml:space="preserve">Port Harcourt</t>
  </si>
  <si>
    <t xml:space="preserve">Online</t>
  </si>
  <si>
    <t xml:space="preserve">Notebook</t>
  </si>
  <si>
    <t xml:space="preserve">Stationery</t>
  </si>
  <si>
    <t xml:space="preserve">Lagos</t>
  </si>
  <si>
    <t xml:space="preserve">Cold brew</t>
  </si>
  <si>
    <t xml:space="preserve">Ibadan</t>
  </si>
  <si>
    <t xml:space="preserve">Retail</t>
  </si>
  <si>
    <t xml:space="preserve">Earbuds</t>
  </si>
  <si>
    <t xml:space="preserve">Electronics</t>
  </si>
  <si>
    <t xml:space="preserve">Storage box</t>
  </si>
  <si>
    <t xml:space="preserve">Home</t>
  </si>
  <si>
    <t xml:space="preserve">Throw pillow</t>
  </si>
  <si>
    <t xml:space="preserve">Speaker</t>
  </si>
  <si>
    <t xml:space="preserve">Planner</t>
  </si>
  <si>
    <t xml:space="preserve">Power bank</t>
  </si>
  <si>
    <t xml:space="preserve">Enugu</t>
  </si>
  <si>
    <t xml:space="preserve">Pen set</t>
  </si>
  <si>
    <t xml:space="preserve">Desk lamp</t>
  </si>
  <si>
    <t xml:space="preserve">Sales summary (all values are formulas on the "Sales data" sheet)</t>
  </si>
  <si>
    <t xml:space="preserve">DEMO DATA — fictional</t>
  </si>
  <si>
    <t xml:space="preserve">By category</t>
  </si>
  <si>
    <t xml:space="preserve">Units</t>
  </si>
  <si>
    <t xml:space="preserve">Orders</t>
  </si>
  <si>
    <t xml:space="preserve">Total</t>
  </si>
  <si>
    <t xml:space="preserve">By location</t>
  </si>
  <si>
    <t xml:space="preserve">Average order value (₦)</t>
  </si>
  <si>
    <t xml:space="preserve">DEMO DATA — fictional people and numbers, to show a data-entry layout. Edit the white cells.</t>
  </si>
  <si>
    <t xml:space="preserve">No.</t>
  </si>
  <si>
    <t xml:space="preserve">Full name</t>
  </si>
  <si>
    <t xml:space="preserve">Phone</t>
  </si>
  <si>
    <t xml:space="preserve">Email</t>
  </si>
  <si>
    <t xml:space="preserve">Town</t>
  </si>
  <si>
    <t xml:space="preserve">Status</t>
  </si>
  <si>
    <t xml:space="preserve">Adaeze Okafor</t>
  </si>
  <si>
    <t xml:space="preserve">0800 000 1000</t>
  </si>
  <si>
    <t xml:space="preserve">adaeze.okafor@example.com</t>
  </si>
  <si>
    <t xml:space="preserve">Verified</t>
  </si>
  <si>
    <t xml:space="preserve">Tunde Bakare</t>
  </si>
  <si>
    <t xml:space="preserve">0800 000 1037</t>
  </si>
  <si>
    <t xml:space="preserve">tunde.bakare@example.com</t>
  </si>
  <si>
    <t xml:space="preserve">Chiamaka Eze</t>
  </si>
  <si>
    <t xml:space="preserve">0800 000 1074</t>
  </si>
  <si>
    <t xml:space="preserve">chiamaka.eze@example.com</t>
  </si>
  <si>
    <t xml:space="preserve">Ibrahim Musa</t>
  </si>
  <si>
    <t xml:space="preserve">0800 000 1111</t>
  </si>
  <si>
    <t xml:space="preserve">ibrahim.musa@example.com</t>
  </si>
  <si>
    <t xml:space="preserve">Kaduna</t>
  </si>
  <si>
    <t xml:space="preserve">Pending</t>
  </si>
  <si>
    <t xml:space="preserve">Funke Adeyemi</t>
  </si>
  <si>
    <t xml:space="preserve">0800 000 1148</t>
  </si>
  <si>
    <t xml:space="preserve">funke.adeyemi@example.com</t>
  </si>
  <si>
    <t xml:space="preserve">Emeka Nwosu</t>
  </si>
  <si>
    <t xml:space="preserve">0800 000 1185</t>
  </si>
  <si>
    <t xml:space="preserve">emeka.nwosu@example.com</t>
  </si>
  <si>
    <t xml:space="preserve">Zainab Lawal</t>
  </si>
  <si>
    <t xml:space="preserve">0800 000 1222</t>
  </si>
  <si>
    <t xml:space="preserve">zainab.lawal@example.com</t>
  </si>
  <si>
    <t xml:space="preserve">Segun Ajayi</t>
  </si>
  <si>
    <t xml:space="preserve">0800 000 1259</t>
  </si>
  <si>
    <t xml:space="preserve">segun.ajayi@example.com</t>
  </si>
  <si>
    <t xml:space="preserve">Ngozi Obi</t>
  </si>
  <si>
    <t xml:space="preserve">0800 000 1296</t>
  </si>
  <si>
    <t xml:space="preserve">ngozi.obi@example.com</t>
  </si>
  <si>
    <t xml:space="preserve">Bayo Ogunleye</t>
  </si>
  <si>
    <t xml:space="preserve">0800 000 1333</t>
  </si>
  <si>
    <t xml:space="preserve">bayo.ogunleye@example.com</t>
  </si>
  <si>
    <t xml:space="preserve">Hauwa Bello</t>
  </si>
  <si>
    <t xml:space="preserve">0800 000 1370</t>
  </si>
  <si>
    <t xml:space="preserve">hauwa.bello@example.com</t>
  </si>
  <si>
    <t xml:space="preserve">Kano</t>
  </si>
  <si>
    <t xml:space="preserve">Kelechi Uche</t>
  </si>
  <si>
    <t xml:space="preserve">0800 000 1407</t>
  </si>
  <si>
    <t xml:space="preserve">kelechi.uche@example.com</t>
  </si>
  <si>
    <t xml:space="preserve">Owerri</t>
  </si>
  <si>
    <t xml:space="preserve">Records entered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</si>
</sst>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B4530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1F7F3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6F42"/>
          <bgColor rgb="FF000000"/>
        </patternFill>
      </fill>
    </dxf>
    <dxf>
      <fill>
        <patternFill patternType="solid">
          <fgColor rgb="FFF1F7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D9D9D9"/>
      <rgbColor rgb="FF878787"/>
      <rgbColor rgb="FF9999FF"/>
      <rgbColor rgb="FFC0504D"/>
      <rgbColor rgb="FFF9F9F9"/>
      <rgbColor rgb="FFF1F7F3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(₦)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Revenue (₦)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Beverages</c:v>
                </c:pt>
                <c:pt idx="1">
                  <c:v>Stationery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Summary!$B$5:$B$8</c:f>
              <c:numCache>
                <c:formatCode>#,##0</c:formatCode>
                <c:ptCount val="4"/>
                <c:pt idx="0">
                  <c:v>102750</c:v>
                </c:pt>
                <c:pt idx="1">
                  <c:v>314800</c:v>
                </c:pt>
                <c:pt idx="2">
                  <c:v>1850500</c:v>
                </c:pt>
                <c:pt idx="3">
                  <c:v>522100</c:v>
                </c:pt>
              </c:numCache>
            </c:numRef>
          </c:val>
        </c:ser>
        <c:gapWidth val="150"/>
        <c:overlap val="0"/>
        <c:axId val="94518458"/>
        <c:axId val="21443124"/>
      </c:barChart>
      <c:catAx>
        <c:axId val="945184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43124"/>
        <c:crosses val="autoZero"/>
        <c:auto val="1"/>
        <c:lblAlgn val="ctr"/>
        <c:lblOffset val="100"/>
        <c:noMultiLvlLbl val="0"/>
      </c:catAx>
      <c:valAx>
        <c:axId val="21443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184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location (₦)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Revenue (₦)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Lagos</c:v>
                </c:pt>
                <c:pt idx="1">
                  <c:v>Ibadan</c:v>
                </c:pt>
                <c:pt idx="2">
                  <c:v>Abuja</c:v>
                </c:pt>
                <c:pt idx="3">
                  <c:v>Port Harcourt</c:v>
                </c:pt>
                <c:pt idx="4">
                  <c:v>Enugu</c:v>
                </c:pt>
              </c:strCache>
            </c:strRef>
          </c:cat>
          <c:val>
            <c:numRef>
              <c:f>Summary!$B$13:$B$17</c:f>
              <c:numCache>
                <c:formatCode>#,##0</c:formatCode>
                <c:ptCount val="5"/>
                <c:pt idx="0">
                  <c:v>544200</c:v>
                </c:pt>
                <c:pt idx="1">
                  <c:v>429100</c:v>
                </c:pt>
                <c:pt idx="2">
                  <c:v>677200</c:v>
                </c:pt>
                <c:pt idx="3">
                  <c:v>379450</c:v>
                </c:pt>
                <c:pt idx="4">
                  <c:v>760200</c:v>
                </c:pt>
              </c:numCache>
            </c:numRef>
          </c:val>
        </c:ser>
        <c:gapWidth val="150"/>
        <c:overlap val="0"/>
        <c:axId val="10241718"/>
        <c:axId val="52771613"/>
      </c:barChart>
      <c:catAx>
        <c:axId val="10241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71613"/>
        <c:crosses val="autoZero"/>
        <c:auto val="1"/>
        <c:lblAlgn val="ctr"/>
        <c:lblOffset val="100"/>
        <c:noMultiLvlLbl val="0"/>
      </c:catAx>
      <c:valAx>
        <c:axId val="52771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41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13</xdr:col>
      <xdr:colOff>147600</xdr:colOff>
      <xdr:row>17</xdr:row>
      <xdr:rowOff>18360</xdr:rowOff>
    </xdr:to>
    <xdr:graphicFrame>
      <xdr:nvGraphicFramePr>
        <xdr:cNvPr id="0" name="Chart 1"/>
        <xdr:cNvGraphicFramePr/>
      </xdr:nvGraphicFramePr>
      <xdr:xfrm>
        <a:off x="582732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175680</xdr:rowOff>
    </xdr:from>
    <xdr:to>
      <xdr:col>13</xdr:col>
      <xdr:colOff>147600</xdr:colOff>
      <xdr:row>33</xdr:row>
      <xdr:rowOff>18000</xdr:rowOff>
    </xdr:to>
    <xdr:graphicFrame>
      <xdr:nvGraphicFramePr>
        <xdr:cNvPr id="1" name="Chart 2"/>
        <xdr:cNvGraphicFramePr/>
      </xdr:nvGraphicFramePr>
      <xdr:xfrm>
        <a:off x="5827320" y="3619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46115</v>
      </c>
      <c r="B4" s="4" t="s">
        <v>9</v>
      </c>
      <c r="C4" s="4" t="s">
        <v>10</v>
      </c>
      <c r="D4" s="4" t="n">
        <v>5</v>
      </c>
      <c r="E4" s="5" t="n">
        <v>300</v>
      </c>
      <c r="F4" s="5" t="n">
        <f aca="false">D4*E4</f>
        <v>1500</v>
      </c>
      <c r="G4" s="4" t="s">
        <v>11</v>
      </c>
      <c r="H4" s="4" t="s">
        <v>12</v>
      </c>
    </row>
    <row r="5" customFormat="false" ht="15" hidden="false" customHeight="false" outlineLevel="0" collapsed="false">
      <c r="A5" s="6" t="n">
        <v>46117</v>
      </c>
      <c r="B5" s="7" t="s">
        <v>13</v>
      </c>
      <c r="C5" s="7" t="s">
        <v>10</v>
      </c>
      <c r="D5" s="7" t="n">
        <v>5</v>
      </c>
      <c r="E5" s="8" t="n">
        <v>450</v>
      </c>
      <c r="F5" s="8" t="n">
        <f aca="false">D5*E5</f>
        <v>2250</v>
      </c>
      <c r="G5" s="7" t="s">
        <v>14</v>
      </c>
      <c r="H5" s="7" t="s">
        <v>15</v>
      </c>
    </row>
    <row r="6" customFormat="false" ht="15" hidden="false" customHeight="false" outlineLevel="0" collapsed="false">
      <c r="A6" s="3" t="n">
        <v>46121</v>
      </c>
      <c r="B6" s="4" t="s">
        <v>16</v>
      </c>
      <c r="C6" s="4" t="s">
        <v>17</v>
      </c>
      <c r="D6" s="4" t="n">
        <v>2</v>
      </c>
      <c r="E6" s="5" t="n">
        <v>1200</v>
      </c>
      <c r="F6" s="5" t="n">
        <f aca="false">D6*E6</f>
        <v>2400</v>
      </c>
      <c r="G6" s="4" t="s">
        <v>18</v>
      </c>
      <c r="H6" s="4" t="s">
        <v>15</v>
      </c>
    </row>
    <row r="7" customFormat="false" ht="15" hidden="false" customHeight="false" outlineLevel="0" collapsed="false">
      <c r="A7" s="6" t="n">
        <v>46123</v>
      </c>
      <c r="B7" s="7" t="s">
        <v>19</v>
      </c>
      <c r="C7" s="7" t="s">
        <v>10</v>
      </c>
      <c r="D7" s="7" t="n">
        <v>5</v>
      </c>
      <c r="E7" s="8" t="n">
        <v>900</v>
      </c>
      <c r="F7" s="8" t="n">
        <f aca="false">D7*E7</f>
        <v>4500</v>
      </c>
      <c r="G7" s="7" t="s">
        <v>20</v>
      </c>
      <c r="H7" s="7" t="s">
        <v>15</v>
      </c>
    </row>
    <row r="8" customFormat="false" ht="15" hidden="false" customHeight="false" outlineLevel="0" collapsed="false">
      <c r="A8" s="3" t="n">
        <v>46123</v>
      </c>
      <c r="B8" s="4" t="s">
        <v>9</v>
      </c>
      <c r="C8" s="4" t="s">
        <v>10</v>
      </c>
      <c r="D8" s="4" t="n">
        <v>9</v>
      </c>
      <c r="E8" s="5" t="n">
        <v>300</v>
      </c>
      <c r="F8" s="5" t="n">
        <f aca="false">D8*E8</f>
        <v>2700</v>
      </c>
      <c r="G8" s="4" t="s">
        <v>20</v>
      </c>
      <c r="H8" s="4" t="s">
        <v>21</v>
      </c>
    </row>
    <row r="9" customFormat="false" ht="15" hidden="false" customHeight="false" outlineLevel="0" collapsed="false">
      <c r="A9" s="6" t="n">
        <v>46124</v>
      </c>
      <c r="B9" s="7" t="s">
        <v>22</v>
      </c>
      <c r="C9" s="7" t="s">
        <v>23</v>
      </c>
      <c r="D9" s="7" t="n">
        <v>12</v>
      </c>
      <c r="E9" s="8" t="n">
        <v>9500</v>
      </c>
      <c r="F9" s="8" t="n">
        <f aca="false">D9*E9</f>
        <v>114000</v>
      </c>
      <c r="G9" s="7" t="s">
        <v>18</v>
      </c>
      <c r="H9" s="7" t="s">
        <v>15</v>
      </c>
    </row>
    <row r="10" customFormat="false" ht="15" hidden="false" customHeight="false" outlineLevel="0" collapsed="false">
      <c r="A10" s="3" t="n">
        <v>46128</v>
      </c>
      <c r="B10" s="4" t="s">
        <v>13</v>
      </c>
      <c r="C10" s="4" t="s">
        <v>10</v>
      </c>
      <c r="D10" s="4" t="n">
        <v>4</v>
      </c>
      <c r="E10" s="5" t="n">
        <v>450</v>
      </c>
      <c r="F10" s="5" t="n">
        <f aca="false">D10*E10</f>
        <v>1800</v>
      </c>
      <c r="G10" s="4" t="s">
        <v>11</v>
      </c>
      <c r="H10" s="4" t="s">
        <v>15</v>
      </c>
    </row>
    <row r="11" customFormat="false" ht="15" hidden="false" customHeight="false" outlineLevel="0" collapsed="false">
      <c r="A11" s="6" t="n">
        <v>46128</v>
      </c>
      <c r="B11" s="7" t="s">
        <v>24</v>
      </c>
      <c r="C11" s="7" t="s">
        <v>25</v>
      </c>
      <c r="D11" s="7" t="n">
        <v>4</v>
      </c>
      <c r="E11" s="8" t="n">
        <v>3500</v>
      </c>
      <c r="F11" s="8" t="n">
        <f aca="false">D11*E11</f>
        <v>14000</v>
      </c>
      <c r="G11" s="7" t="s">
        <v>11</v>
      </c>
      <c r="H11" s="7" t="s">
        <v>15</v>
      </c>
    </row>
    <row r="12" customFormat="false" ht="15" hidden="false" customHeight="false" outlineLevel="0" collapsed="false">
      <c r="A12" s="3" t="n">
        <v>46133</v>
      </c>
      <c r="B12" s="4" t="s">
        <v>9</v>
      </c>
      <c r="C12" s="4" t="s">
        <v>10</v>
      </c>
      <c r="D12" s="4" t="n">
        <v>6</v>
      </c>
      <c r="E12" s="5" t="n">
        <v>300</v>
      </c>
      <c r="F12" s="5" t="n">
        <f aca="false">D12*E12</f>
        <v>1800</v>
      </c>
      <c r="G12" s="4" t="s">
        <v>14</v>
      </c>
      <c r="H12" s="4" t="s">
        <v>15</v>
      </c>
    </row>
    <row r="13" customFormat="false" ht="15" hidden="false" customHeight="false" outlineLevel="0" collapsed="false">
      <c r="A13" s="6" t="n">
        <v>46134</v>
      </c>
      <c r="B13" s="7" t="s">
        <v>26</v>
      </c>
      <c r="C13" s="7" t="s">
        <v>25</v>
      </c>
      <c r="D13" s="7" t="n">
        <v>6</v>
      </c>
      <c r="E13" s="8" t="n">
        <v>4200</v>
      </c>
      <c r="F13" s="8" t="n">
        <f aca="false">D13*E13</f>
        <v>25200</v>
      </c>
      <c r="G13" s="7" t="s">
        <v>14</v>
      </c>
      <c r="H13" s="7" t="s">
        <v>15</v>
      </c>
    </row>
    <row r="14" customFormat="false" ht="15" hidden="false" customHeight="false" outlineLevel="0" collapsed="false">
      <c r="A14" s="3" t="n">
        <v>46138</v>
      </c>
      <c r="B14" s="4" t="s">
        <v>22</v>
      </c>
      <c r="C14" s="4" t="s">
        <v>23</v>
      </c>
      <c r="D14" s="4" t="n">
        <v>1</v>
      </c>
      <c r="E14" s="5" t="n">
        <v>9500</v>
      </c>
      <c r="F14" s="5" t="n">
        <f aca="false">D14*E14</f>
        <v>9500</v>
      </c>
      <c r="G14" s="4" t="s">
        <v>18</v>
      </c>
      <c r="H14" s="4" t="s">
        <v>15</v>
      </c>
    </row>
    <row r="15" customFormat="false" ht="15" hidden="false" customHeight="false" outlineLevel="0" collapsed="false">
      <c r="A15" s="6" t="n">
        <v>46139</v>
      </c>
      <c r="B15" s="7" t="s">
        <v>24</v>
      </c>
      <c r="C15" s="7" t="s">
        <v>25</v>
      </c>
      <c r="D15" s="7" t="n">
        <v>5</v>
      </c>
      <c r="E15" s="8" t="n">
        <v>3500</v>
      </c>
      <c r="F15" s="8" t="n">
        <f aca="false">D15*E15</f>
        <v>17500</v>
      </c>
      <c r="G15" s="7" t="s">
        <v>18</v>
      </c>
      <c r="H15" s="7" t="s">
        <v>15</v>
      </c>
    </row>
    <row r="16" customFormat="false" ht="15" hidden="false" customHeight="false" outlineLevel="0" collapsed="false">
      <c r="A16" s="3" t="n">
        <v>46139</v>
      </c>
      <c r="B16" s="4" t="s">
        <v>27</v>
      </c>
      <c r="C16" s="4" t="s">
        <v>23</v>
      </c>
      <c r="D16" s="4" t="n">
        <v>7</v>
      </c>
      <c r="E16" s="5" t="n">
        <v>15000</v>
      </c>
      <c r="F16" s="5" t="n">
        <f aca="false">D16*E16</f>
        <v>105000</v>
      </c>
      <c r="G16" s="4" t="s">
        <v>11</v>
      </c>
      <c r="H16" s="4" t="s">
        <v>12</v>
      </c>
    </row>
    <row r="17" customFormat="false" ht="15" hidden="false" customHeight="false" outlineLevel="0" collapsed="false">
      <c r="A17" s="6" t="n">
        <v>46139</v>
      </c>
      <c r="B17" s="7" t="s">
        <v>19</v>
      </c>
      <c r="C17" s="7" t="s">
        <v>10</v>
      </c>
      <c r="D17" s="7" t="n">
        <v>11</v>
      </c>
      <c r="E17" s="8" t="n">
        <v>900</v>
      </c>
      <c r="F17" s="8" t="n">
        <f aca="false">D17*E17</f>
        <v>9900</v>
      </c>
      <c r="G17" s="7" t="s">
        <v>11</v>
      </c>
      <c r="H17" s="7" t="s">
        <v>21</v>
      </c>
    </row>
    <row r="18" customFormat="false" ht="15" hidden="false" customHeight="false" outlineLevel="0" collapsed="false">
      <c r="A18" s="3" t="n">
        <v>46144</v>
      </c>
      <c r="B18" s="4" t="s">
        <v>28</v>
      </c>
      <c r="C18" s="4" t="s">
        <v>17</v>
      </c>
      <c r="D18" s="4" t="n">
        <v>10</v>
      </c>
      <c r="E18" s="5" t="n">
        <v>2500</v>
      </c>
      <c r="F18" s="5" t="n">
        <f aca="false">D18*E18</f>
        <v>25000</v>
      </c>
      <c r="G18" s="4" t="s">
        <v>18</v>
      </c>
      <c r="H18" s="4" t="s">
        <v>12</v>
      </c>
    </row>
    <row r="19" customFormat="false" ht="15" hidden="false" customHeight="false" outlineLevel="0" collapsed="false">
      <c r="A19" s="6" t="n">
        <v>46144</v>
      </c>
      <c r="B19" s="7" t="s">
        <v>19</v>
      </c>
      <c r="C19" s="7" t="s">
        <v>10</v>
      </c>
      <c r="D19" s="7" t="n">
        <v>9</v>
      </c>
      <c r="E19" s="8" t="n">
        <v>900</v>
      </c>
      <c r="F19" s="8" t="n">
        <f aca="false">D19*E19</f>
        <v>8100</v>
      </c>
      <c r="G19" s="7" t="s">
        <v>11</v>
      </c>
      <c r="H19" s="7" t="s">
        <v>12</v>
      </c>
    </row>
    <row r="20" customFormat="false" ht="15" hidden="false" customHeight="false" outlineLevel="0" collapsed="false">
      <c r="A20" s="3" t="n">
        <v>46145</v>
      </c>
      <c r="B20" s="4" t="s">
        <v>29</v>
      </c>
      <c r="C20" s="4" t="s">
        <v>23</v>
      </c>
      <c r="D20" s="4" t="n">
        <v>8</v>
      </c>
      <c r="E20" s="5" t="n">
        <v>12000</v>
      </c>
      <c r="F20" s="5" t="n">
        <f aca="false">D20*E20</f>
        <v>96000</v>
      </c>
      <c r="G20" s="4" t="s">
        <v>11</v>
      </c>
      <c r="H20" s="4" t="s">
        <v>15</v>
      </c>
    </row>
    <row r="21" customFormat="false" ht="15" hidden="false" customHeight="false" outlineLevel="0" collapsed="false">
      <c r="A21" s="6" t="n">
        <v>46147</v>
      </c>
      <c r="B21" s="7" t="s">
        <v>26</v>
      </c>
      <c r="C21" s="7" t="s">
        <v>25</v>
      </c>
      <c r="D21" s="7" t="n">
        <v>2</v>
      </c>
      <c r="E21" s="8" t="n">
        <v>4200</v>
      </c>
      <c r="F21" s="8" t="n">
        <f aca="false">D21*E21</f>
        <v>8400</v>
      </c>
      <c r="G21" s="7" t="s">
        <v>20</v>
      </c>
      <c r="H21" s="7" t="s">
        <v>15</v>
      </c>
    </row>
    <row r="22" customFormat="false" ht="15" hidden="false" customHeight="false" outlineLevel="0" collapsed="false">
      <c r="A22" s="3" t="n">
        <v>46148</v>
      </c>
      <c r="B22" s="4" t="s">
        <v>27</v>
      </c>
      <c r="C22" s="4" t="s">
        <v>23</v>
      </c>
      <c r="D22" s="4" t="n">
        <v>4</v>
      </c>
      <c r="E22" s="5" t="n">
        <v>15000</v>
      </c>
      <c r="F22" s="5" t="n">
        <f aca="false">D22*E22</f>
        <v>60000</v>
      </c>
      <c r="G22" s="4" t="s">
        <v>11</v>
      </c>
      <c r="H22" s="4" t="s">
        <v>12</v>
      </c>
    </row>
    <row r="23" customFormat="false" ht="15" hidden="false" customHeight="false" outlineLevel="0" collapsed="false">
      <c r="A23" s="6" t="n">
        <v>46149</v>
      </c>
      <c r="B23" s="7" t="s">
        <v>24</v>
      </c>
      <c r="C23" s="7" t="s">
        <v>25</v>
      </c>
      <c r="D23" s="7" t="n">
        <v>8</v>
      </c>
      <c r="E23" s="8" t="n">
        <v>3500</v>
      </c>
      <c r="F23" s="8" t="n">
        <f aca="false">D23*E23</f>
        <v>28000</v>
      </c>
      <c r="G23" s="7" t="s">
        <v>20</v>
      </c>
      <c r="H23" s="7" t="s">
        <v>21</v>
      </c>
    </row>
    <row r="24" customFormat="false" ht="15" hidden="false" customHeight="false" outlineLevel="0" collapsed="false">
      <c r="A24" s="3" t="n">
        <v>46150</v>
      </c>
      <c r="B24" s="4" t="s">
        <v>24</v>
      </c>
      <c r="C24" s="4" t="s">
        <v>25</v>
      </c>
      <c r="D24" s="4" t="n">
        <v>1</v>
      </c>
      <c r="E24" s="5" t="n">
        <v>3500</v>
      </c>
      <c r="F24" s="5" t="n">
        <f aca="false">D24*E24</f>
        <v>3500</v>
      </c>
      <c r="G24" s="4" t="s">
        <v>14</v>
      </c>
      <c r="H24" s="4" t="s">
        <v>15</v>
      </c>
    </row>
    <row r="25" customFormat="false" ht="15" hidden="false" customHeight="false" outlineLevel="0" collapsed="false">
      <c r="A25" s="6" t="n">
        <v>46150</v>
      </c>
      <c r="B25" s="7" t="s">
        <v>19</v>
      </c>
      <c r="C25" s="7" t="s">
        <v>10</v>
      </c>
      <c r="D25" s="7" t="n">
        <v>10</v>
      </c>
      <c r="E25" s="8" t="n">
        <v>900</v>
      </c>
      <c r="F25" s="8" t="n">
        <f aca="false">D25*E25</f>
        <v>9000</v>
      </c>
      <c r="G25" s="7" t="s">
        <v>11</v>
      </c>
      <c r="H25" s="7" t="s">
        <v>21</v>
      </c>
    </row>
    <row r="26" customFormat="false" ht="15" hidden="false" customHeight="false" outlineLevel="0" collapsed="false">
      <c r="A26" s="3" t="n">
        <v>46150</v>
      </c>
      <c r="B26" s="4" t="s">
        <v>9</v>
      </c>
      <c r="C26" s="4" t="s">
        <v>10</v>
      </c>
      <c r="D26" s="4" t="n">
        <v>3</v>
      </c>
      <c r="E26" s="5" t="n">
        <v>300</v>
      </c>
      <c r="F26" s="5" t="n">
        <f aca="false">D26*E26</f>
        <v>900</v>
      </c>
      <c r="G26" s="4" t="s">
        <v>14</v>
      </c>
      <c r="H26" s="4" t="s">
        <v>15</v>
      </c>
    </row>
    <row r="27" customFormat="false" ht="15" hidden="false" customHeight="false" outlineLevel="0" collapsed="false">
      <c r="A27" s="6" t="n">
        <v>46151</v>
      </c>
      <c r="B27" s="7" t="s">
        <v>29</v>
      </c>
      <c r="C27" s="7" t="s">
        <v>23</v>
      </c>
      <c r="D27" s="7" t="n">
        <v>2</v>
      </c>
      <c r="E27" s="8" t="n">
        <v>12000</v>
      </c>
      <c r="F27" s="8" t="n">
        <f aca="false">D27*E27</f>
        <v>24000</v>
      </c>
      <c r="G27" s="7" t="s">
        <v>11</v>
      </c>
      <c r="H27" s="7" t="s">
        <v>15</v>
      </c>
    </row>
    <row r="28" customFormat="false" ht="15" hidden="false" customHeight="false" outlineLevel="0" collapsed="false">
      <c r="A28" s="3" t="n">
        <v>46151</v>
      </c>
      <c r="B28" s="4" t="s">
        <v>28</v>
      </c>
      <c r="C28" s="4" t="s">
        <v>17</v>
      </c>
      <c r="D28" s="4" t="n">
        <v>11</v>
      </c>
      <c r="E28" s="5" t="n">
        <v>2500</v>
      </c>
      <c r="F28" s="5" t="n">
        <f aca="false">D28*E28</f>
        <v>27500</v>
      </c>
      <c r="G28" s="4" t="s">
        <v>14</v>
      </c>
      <c r="H28" s="4" t="s">
        <v>15</v>
      </c>
    </row>
    <row r="29" customFormat="false" ht="15" hidden="false" customHeight="false" outlineLevel="0" collapsed="false">
      <c r="A29" s="6" t="n">
        <v>46151</v>
      </c>
      <c r="B29" s="7" t="s">
        <v>28</v>
      </c>
      <c r="C29" s="7" t="s">
        <v>17</v>
      </c>
      <c r="D29" s="7" t="n">
        <v>12</v>
      </c>
      <c r="E29" s="8" t="n">
        <v>2500</v>
      </c>
      <c r="F29" s="8" t="n">
        <f aca="false">D29*E29</f>
        <v>30000</v>
      </c>
      <c r="G29" s="7" t="s">
        <v>18</v>
      </c>
      <c r="H29" s="7" t="s">
        <v>15</v>
      </c>
    </row>
    <row r="30" customFormat="false" ht="15" hidden="false" customHeight="false" outlineLevel="0" collapsed="false">
      <c r="A30" s="3" t="n">
        <v>46152</v>
      </c>
      <c r="B30" s="4" t="s">
        <v>24</v>
      </c>
      <c r="C30" s="4" t="s">
        <v>25</v>
      </c>
      <c r="D30" s="4" t="n">
        <v>2</v>
      </c>
      <c r="E30" s="5" t="n">
        <v>3500</v>
      </c>
      <c r="F30" s="5" t="n">
        <f aca="false">D30*E30</f>
        <v>7000</v>
      </c>
      <c r="G30" s="4" t="s">
        <v>18</v>
      </c>
      <c r="H30" s="4" t="s">
        <v>12</v>
      </c>
    </row>
    <row r="31" customFormat="false" ht="15" hidden="false" customHeight="false" outlineLevel="0" collapsed="false">
      <c r="A31" s="6" t="n">
        <v>46153</v>
      </c>
      <c r="B31" s="7" t="s">
        <v>27</v>
      </c>
      <c r="C31" s="7" t="s">
        <v>23</v>
      </c>
      <c r="D31" s="7" t="n">
        <v>3</v>
      </c>
      <c r="E31" s="8" t="n">
        <v>15000</v>
      </c>
      <c r="F31" s="8" t="n">
        <f aca="false">D31*E31</f>
        <v>45000</v>
      </c>
      <c r="G31" s="7" t="s">
        <v>30</v>
      </c>
      <c r="H31" s="7" t="s">
        <v>12</v>
      </c>
    </row>
    <row r="32" customFormat="false" ht="15" hidden="false" customHeight="false" outlineLevel="0" collapsed="false">
      <c r="A32" s="3" t="n">
        <v>46156</v>
      </c>
      <c r="B32" s="4" t="s">
        <v>19</v>
      </c>
      <c r="C32" s="4" t="s">
        <v>10</v>
      </c>
      <c r="D32" s="4" t="n">
        <v>10</v>
      </c>
      <c r="E32" s="5" t="n">
        <v>900</v>
      </c>
      <c r="F32" s="5" t="n">
        <f aca="false">D32*E32</f>
        <v>9000</v>
      </c>
      <c r="G32" s="4" t="s">
        <v>18</v>
      </c>
      <c r="H32" s="4" t="s">
        <v>12</v>
      </c>
    </row>
    <row r="33" customFormat="false" ht="15" hidden="false" customHeight="false" outlineLevel="0" collapsed="false">
      <c r="A33" s="6" t="n">
        <v>46159</v>
      </c>
      <c r="B33" s="7" t="s">
        <v>9</v>
      </c>
      <c r="C33" s="7" t="s">
        <v>10</v>
      </c>
      <c r="D33" s="7" t="n">
        <v>5</v>
      </c>
      <c r="E33" s="8" t="n">
        <v>300</v>
      </c>
      <c r="F33" s="8" t="n">
        <f aca="false">D33*E33</f>
        <v>1500</v>
      </c>
      <c r="G33" s="7" t="s">
        <v>14</v>
      </c>
      <c r="H33" s="7" t="s">
        <v>12</v>
      </c>
    </row>
    <row r="34" customFormat="false" ht="15" hidden="false" customHeight="false" outlineLevel="0" collapsed="false">
      <c r="A34" s="3" t="n">
        <v>46166</v>
      </c>
      <c r="B34" s="4" t="s">
        <v>16</v>
      </c>
      <c r="C34" s="4" t="s">
        <v>17</v>
      </c>
      <c r="D34" s="4" t="n">
        <v>2</v>
      </c>
      <c r="E34" s="5" t="n">
        <v>1200</v>
      </c>
      <c r="F34" s="5" t="n">
        <f aca="false">D34*E34</f>
        <v>2400</v>
      </c>
      <c r="G34" s="4" t="s">
        <v>30</v>
      </c>
      <c r="H34" s="4" t="s">
        <v>15</v>
      </c>
    </row>
    <row r="35" customFormat="false" ht="15" hidden="false" customHeight="false" outlineLevel="0" collapsed="false">
      <c r="A35" s="6" t="n">
        <v>46166</v>
      </c>
      <c r="B35" s="7" t="s">
        <v>22</v>
      </c>
      <c r="C35" s="7" t="s">
        <v>23</v>
      </c>
      <c r="D35" s="7" t="n">
        <v>9</v>
      </c>
      <c r="E35" s="8" t="n">
        <v>9500</v>
      </c>
      <c r="F35" s="8" t="n">
        <f aca="false">D35*E35</f>
        <v>85500</v>
      </c>
      <c r="G35" s="7" t="s">
        <v>30</v>
      </c>
      <c r="H35" s="7" t="s">
        <v>15</v>
      </c>
    </row>
    <row r="36" customFormat="false" ht="15" hidden="false" customHeight="false" outlineLevel="0" collapsed="false">
      <c r="A36" s="3" t="n">
        <v>46167</v>
      </c>
      <c r="B36" s="4" t="s">
        <v>31</v>
      </c>
      <c r="C36" s="4" t="s">
        <v>17</v>
      </c>
      <c r="D36" s="4" t="n">
        <v>11</v>
      </c>
      <c r="E36" s="5" t="n">
        <v>800</v>
      </c>
      <c r="F36" s="5" t="n">
        <f aca="false">D36*E36</f>
        <v>8800</v>
      </c>
      <c r="G36" s="4" t="s">
        <v>18</v>
      </c>
      <c r="H36" s="4" t="s">
        <v>21</v>
      </c>
    </row>
    <row r="37" customFormat="false" ht="15" hidden="false" customHeight="false" outlineLevel="0" collapsed="false">
      <c r="A37" s="6" t="n">
        <v>46168</v>
      </c>
      <c r="B37" s="7" t="s">
        <v>9</v>
      </c>
      <c r="C37" s="7" t="s">
        <v>10</v>
      </c>
      <c r="D37" s="7" t="n">
        <v>8</v>
      </c>
      <c r="E37" s="8" t="n">
        <v>300</v>
      </c>
      <c r="F37" s="8" t="n">
        <f aca="false">D37*E37</f>
        <v>2400</v>
      </c>
      <c r="G37" s="7" t="s">
        <v>30</v>
      </c>
      <c r="H37" s="7" t="s">
        <v>21</v>
      </c>
    </row>
    <row r="38" customFormat="false" ht="15" hidden="false" customHeight="false" outlineLevel="0" collapsed="false">
      <c r="A38" s="3" t="n">
        <v>46175</v>
      </c>
      <c r="B38" s="4" t="s">
        <v>27</v>
      </c>
      <c r="C38" s="4" t="s">
        <v>23</v>
      </c>
      <c r="D38" s="4" t="n">
        <v>4</v>
      </c>
      <c r="E38" s="5" t="n">
        <v>15000</v>
      </c>
      <c r="F38" s="5" t="n">
        <f aca="false">D38*E38</f>
        <v>60000</v>
      </c>
      <c r="G38" s="4" t="s">
        <v>18</v>
      </c>
      <c r="H38" s="4" t="s">
        <v>21</v>
      </c>
    </row>
    <row r="39" customFormat="false" ht="15" hidden="false" customHeight="false" outlineLevel="0" collapsed="false">
      <c r="A39" s="6" t="n">
        <v>46177</v>
      </c>
      <c r="B39" s="7" t="s">
        <v>13</v>
      </c>
      <c r="C39" s="7" t="s">
        <v>10</v>
      </c>
      <c r="D39" s="7" t="n">
        <v>2</v>
      </c>
      <c r="E39" s="8" t="n">
        <v>450</v>
      </c>
      <c r="F39" s="8" t="n">
        <f aca="false">D39*E39</f>
        <v>900</v>
      </c>
      <c r="G39" s="7" t="s">
        <v>11</v>
      </c>
      <c r="H39" s="7" t="s">
        <v>21</v>
      </c>
    </row>
    <row r="40" customFormat="false" ht="15" hidden="false" customHeight="false" outlineLevel="0" collapsed="false">
      <c r="A40" s="3" t="n">
        <v>46177</v>
      </c>
      <c r="B40" s="4" t="s">
        <v>16</v>
      </c>
      <c r="C40" s="4" t="s">
        <v>17</v>
      </c>
      <c r="D40" s="4" t="n">
        <v>11</v>
      </c>
      <c r="E40" s="5" t="n">
        <v>1200</v>
      </c>
      <c r="F40" s="5" t="n">
        <f aca="false">D40*E40</f>
        <v>13200</v>
      </c>
      <c r="G40" s="4" t="s">
        <v>18</v>
      </c>
      <c r="H40" s="4" t="s">
        <v>12</v>
      </c>
    </row>
    <row r="41" customFormat="false" ht="15" hidden="false" customHeight="false" outlineLevel="0" collapsed="false">
      <c r="A41" s="6" t="n">
        <v>46178</v>
      </c>
      <c r="B41" s="7" t="s">
        <v>19</v>
      </c>
      <c r="C41" s="7" t="s">
        <v>10</v>
      </c>
      <c r="D41" s="7" t="n">
        <v>4</v>
      </c>
      <c r="E41" s="8" t="n">
        <v>900</v>
      </c>
      <c r="F41" s="8" t="n">
        <f aca="false">D41*E41</f>
        <v>3600</v>
      </c>
      <c r="G41" s="7" t="s">
        <v>30</v>
      </c>
      <c r="H41" s="7" t="s">
        <v>12</v>
      </c>
    </row>
    <row r="42" customFormat="false" ht="15" hidden="false" customHeight="false" outlineLevel="0" collapsed="false">
      <c r="A42" s="3" t="n">
        <v>46180</v>
      </c>
      <c r="B42" s="4" t="s">
        <v>24</v>
      </c>
      <c r="C42" s="4" t="s">
        <v>25</v>
      </c>
      <c r="D42" s="4" t="n">
        <v>5</v>
      </c>
      <c r="E42" s="5" t="n">
        <v>3500</v>
      </c>
      <c r="F42" s="5" t="n">
        <f aca="false">D42*E42</f>
        <v>17500</v>
      </c>
      <c r="G42" s="4" t="s">
        <v>30</v>
      </c>
      <c r="H42" s="4" t="s">
        <v>12</v>
      </c>
    </row>
    <row r="43" customFormat="false" ht="15" hidden="false" customHeight="false" outlineLevel="0" collapsed="false">
      <c r="A43" s="6" t="n">
        <v>46184</v>
      </c>
      <c r="B43" s="7" t="s">
        <v>26</v>
      </c>
      <c r="C43" s="7" t="s">
        <v>25</v>
      </c>
      <c r="D43" s="7" t="n">
        <v>4</v>
      </c>
      <c r="E43" s="8" t="n">
        <v>4200</v>
      </c>
      <c r="F43" s="8" t="n">
        <f aca="false">D43*E43</f>
        <v>16800</v>
      </c>
      <c r="G43" s="7" t="s">
        <v>11</v>
      </c>
      <c r="H43" s="7" t="s">
        <v>21</v>
      </c>
    </row>
    <row r="44" customFormat="false" ht="15" hidden="false" customHeight="false" outlineLevel="0" collapsed="false">
      <c r="A44" s="3" t="n">
        <v>46185</v>
      </c>
      <c r="B44" s="4" t="s">
        <v>32</v>
      </c>
      <c r="C44" s="4" t="s">
        <v>25</v>
      </c>
      <c r="D44" s="4" t="n">
        <v>12</v>
      </c>
      <c r="E44" s="5" t="n">
        <v>6500</v>
      </c>
      <c r="F44" s="5" t="n">
        <f aca="false">D44*E44</f>
        <v>78000</v>
      </c>
      <c r="G44" s="4" t="s">
        <v>11</v>
      </c>
      <c r="H44" s="4" t="s">
        <v>15</v>
      </c>
    </row>
    <row r="45" customFormat="false" ht="15" hidden="false" customHeight="false" outlineLevel="0" collapsed="false">
      <c r="A45" s="6" t="n">
        <v>46186</v>
      </c>
      <c r="B45" s="7" t="s">
        <v>26</v>
      </c>
      <c r="C45" s="7" t="s">
        <v>25</v>
      </c>
      <c r="D45" s="7" t="n">
        <v>12</v>
      </c>
      <c r="E45" s="8" t="n">
        <v>4200</v>
      </c>
      <c r="F45" s="8" t="n">
        <f aca="false">D45*E45</f>
        <v>50400</v>
      </c>
      <c r="G45" s="7" t="s">
        <v>18</v>
      </c>
      <c r="H45" s="7" t="s">
        <v>21</v>
      </c>
    </row>
    <row r="46" customFormat="false" ht="15" hidden="false" customHeight="false" outlineLevel="0" collapsed="false">
      <c r="A46" s="3" t="n">
        <v>46188</v>
      </c>
      <c r="B46" s="4" t="s">
        <v>24</v>
      </c>
      <c r="C46" s="4" t="s">
        <v>25</v>
      </c>
      <c r="D46" s="4" t="n">
        <v>5</v>
      </c>
      <c r="E46" s="5" t="n">
        <v>3500</v>
      </c>
      <c r="F46" s="5" t="n">
        <f aca="false">D46*E46</f>
        <v>17500</v>
      </c>
      <c r="G46" s="4" t="s">
        <v>11</v>
      </c>
      <c r="H46" s="4" t="s">
        <v>15</v>
      </c>
    </row>
    <row r="47" customFormat="false" ht="15" hidden="false" customHeight="false" outlineLevel="0" collapsed="false">
      <c r="A47" s="6" t="n">
        <v>46188</v>
      </c>
      <c r="B47" s="7" t="s">
        <v>9</v>
      </c>
      <c r="C47" s="7" t="s">
        <v>10</v>
      </c>
      <c r="D47" s="7" t="n">
        <v>11</v>
      </c>
      <c r="E47" s="8" t="n">
        <v>300</v>
      </c>
      <c r="F47" s="8" t="n">
        <f aca="false">D47*E47</f>
        <v>3300</v>
      </c>
      <c r="G47" s="7" t="s">
        <v>30</v>
      </c>
      <c r="H47" s="7" t="s">
        <v>12</v>
      </c>
    </row>
    <row r="48" customFormat="false" ht="15" hidden="false" customHeight="false" outlineLevel="0" collapsed="false">
      <c r="A48" s="3" t="n">
        <v>46189</v>
      </c>
      <c r="B48" s="4" t="s">
        <v>28</v>
      </c>
      <c r="C48" s="4" t="s">
        <v>17</v>
      </c>
      <c r="D48" s="4" t="n">
        <v>7</v>
      </c>
      <c r="E48" s="5" t="n">
        <v>2500</v>
      </c>
      <c r="F48" s="5" t="n">
        <f aca="false">D48*E48</f>
        <v>17500</v>
      </c>
      <c r="G48" s="4" t="s">
        <v>18</v>
      </c>
      <c r="H48" s="4" t="s">
        <v>21</v>
      </c>
    </row>
    <row r="49" customFormat="false" ht="15" hidden="false" customHeight="false" outlineLevel="0" collapsed="false">
      <c r="A49" s="6" t="n">
        <v>46192</v>
      </c>
      <c r="B49" s="7" t="s">
        <v>27</v>
      </c>
      <c r="C49" s="7" t="s">
        <v>23</v>
      </c>
      <c r="D49" s="7" t="n">
        <v>4</v>
      </c>
      <c r="E49" s="8" t="n">
        <v>15000</v>
      </c>
      <c r="F49" s="8" t="n">
        <f aca="false">D49*E49</f>
        <v>60000</v>
      </c>
      <c r="G49" s="7" t="s">
        <v>18</v>
      </c>
      <c r="H49" s="7" t="s">
        <v>12</v>
      </c>
    </row>
    <row r="50" customFormat="false" ht="15" hidden="false" customHeight="false" outlineLevel="0" collapsed="false">
      <c r="A50" s="3" t="n">
        <v>46193</v>
      </c>
      <c r="B50" s="4" t="s">
        <v>26</v>
      </c>
      <c r="C50" s="4" t="s">
        <v>25</v>
      </c>
      <c r="D50" s="4" t="n">
        <v>4</v>
      </c>
      <c r="E50" s="5" t="n">
        <v>4200</v>
      </c>
      <c r="F50" s="5" t="n">
        <f aca="false">D50*E50</f>
        <v>16800</v>
      </c>
      <c r="G50" s="4" t="s">
        <v>11</v>
      </c>
      <c r="H50" s="4" t="s">
        <v>15</v>
      </c>
    </row>
    <row r="51" customFormat="false" ht="15" hidden="false" customHeight="false" outlineLevel="0" collapsed="false">
      <c r="A51" s="6" t="n">
        <v>46194</v>
      </c>
      <c r="B51" s="7" t="s">
        <v>19</v>
      </c>
      <c r="C51" s="7" t="s">
        <v>10</v>
      </c>
      <c r="D51" s="7" t="n">
        <v>8</v>
      </c>
      <c r="E51" s="8" t="n">
        <v>900</v>
      </c>
      <c r="F51" s="8" t="n">
        <f aca="false">D51*E51</f>
        <v>7200</v>
      </c>
      <c r="G51" s="7" t="s">
        <v>14</v>
      </c>
      <c r="H51" s="7" t="s">
        <v>12</v>
      </c>
    </row>
    <row r="52" customFormat="false" ht="15" hidden="false" customHeight="false" outlineLevel="0" collapsed="false">
      <c r="A52" s="3" t="n">
        <v>46205</v>
      </c>
      <c r="B52" s="4" t="s">
        <v>29</v>
      </c>
      <c r="C52" s="4" t="s">
        <v>23</v>
      </c>
      <c r="D52" s="4" t="n">
        <v>1</v>
      </c>
      <c r="E52" s="5" t="n">
        <v>12000</v>
      </c>
      <c r="F52" s="5" t="n">
        <f aca="false">D52*E52</f>
        <v>12000</v>
      </c>
      <c r="G52" s="4" t="s">
        <v>20</v>
      </c>
      <c r="H52" s="4" t="s">
        <v>21</v>
      </c>
    </row>
    <row r="53" customFormat="false" ht="15" hidden="false" customHeight="false" outlineLevel="0" collapsed="false">
      <c r="A53" s="6" t="n">
        <v>46208</v>
      </c>
      <c r="B53" s="7" t="s">
        <v>28</v>
      </c>
      <c r="C53" s="7" t="s">
        <v>17</v>
      </c>
      <c r="D53" s="7" t="n">
        <v>11</v>
      </c>
      <c r="E53" s="8" t="n">
        <v>2500</v>
      </c>
      <c r="F53" s="8" t="n">
        <f aca="false">D53*E53</f>
        <v>27500</v>
      </c>
      <c r="G53" s="7" t="s">
        <v>11</v>
      </c>
      <c r="H53" s="7" t="s">
        <v>21</v>
      </c>
    </row>
    <row r="54" customFormat="false" ht="15" hidden="false" customHeight="false" outlineLevel="0" collapsed="false">
      <c r="A54" s="3" t="n">
        <v>46209</v>
      </c>
      <c r="B54" s="4" t="s">
        <v>19</v>
      </c>
      <c r="C54" s="4" t="s">
        <v>10</v>
      </c>
      <c r="D54" s="4" t="n">
        <v>11</v>
      </c>
      <c r="E54" s="5" t="n">
        <v>900</v>
      </c>
      <c r="F54" s="5" t="n">
        <f aca="false">D54*E54</f>
        <v>9900</v>
      </c>
      <c r="G54" s="4" t="s">
        <v>18</v>
      </c>
      <c r="H54" s="4" t="s">
        <v>12</v>
      </c>
    </row>
    <row r="55" customFormat="false" ht="15" hidden="false" customHeight="false" outlineLevel="0" collapsed="false">
      <c r="A55" s="6" t="n">
        <v>46209</v>
      </c>
      <c r="B55" s="7" t="s">
        <v>26</v>
      </c>
      <c r="C55" s="7" t="s">
        <v>25</v>
      </c>
      <c r="D55" s="7" t="n">
        <v>1</v>
      </c>
      <c r="E55" s="8" t="n">
        <v>4200</v>
      </c>
      <c r="F55" s="8" t="n">
        <f aca="false">D55*E55</f>
        <v>4200</v>
      </c>
      <c r="G55" s="7" t="s">
        <v>14</v>
      </c>
      <c r="H55" s="7" t="s">
        <v>15</v>
      </c>
    </row>
    <row r="56" customFormat="false" ht="15" hidden="false" customHeight="false" outlineLevel="0" collapsed="false">
      <c r="A56" s="3" t="n">
        <v>46215</v>
      </c>
      <c r="B56" s="4" t="s">
        <v>24</v>
      </c>
      <c r="C56" s="4" t="s">
        <v>25</v>
      </c>
      <c r="D56" s="4" t="n">
        <v>3</v>
      </c>
      <c r="E56" s="5" t="n">
        <v>3500</v>
      </c>
      <c r="F56" s="5" t="n">
        <f aca="false">D56*E56</f>
        <v>10500</v>
      </c>
      <c r="G56" s="4" t="s">
        <v>14</v>
      </c>
      <c r="H56" s="4" t="s">
        <v>21</v>
      </c>
    </row>
    <row r="57" customFormat="false" ht="15" hidden="false" customHeight="false" outlineLevel="0" collapsed="false">
      <c r="A57" s="6" t="n">
        <v>46216</v>
      </c>
      <c r="B57" s="7" t="s">
        <v>28</v>
      </c>
      <c r="C57" s="7" t="s">
        <v>17</v>
      </c>
      <c r="D57" s="7" t="n">
        <v>10</v>
      </c>
      <c r="E57" s="8" t="n">
        <v>2500</v>
      </c>
      <c r="F57" s="8" t="n">
        <f aca="false">D57*E57</f>
        <v>25000</v>
      </c>
      <c r="G57" s="7" t="s">
        <v>11</v>
      </c>
      <c r="H57" s="7" t="s">
        <v>15</v>
      </c>
    </row>
    <row r="58" customFormat="false" ht="15" hidden="false" customHeight="false" outlineLevel="0" collapsed="false">
      <c r="A58" s="3" t="n">
        <v>46216</v>
      </c>
      <c r="B58" s="4" t="s">
        <v>27</v>
      </c>
      <c r="C58" s="4" t="s">
        <v>23</v>
      </c>
      <c r="D58" s="4" t="n">
        <v>12</v>
      </c>
      <c r="E58" s="5" t="n">
        <v>15000</v>
      </c>
      <c r="F58" s="5" t="n">
        <f aca="false">D58*E58</f>
        <v>180000</v>
      </c>
      <c r="G58" s="4" t="s">
        <v>30</v>
      </c>
      <c r="H58" s="4" t="s">
        <v>12</v>
      </c>
    </row>
    <row r="59" customFormat="false" ht="15" hidden="false" customHeight="false" outlineLevel="0" collapsed="false">
      <c r="A59" s="6" t="n">
        <v>46217</v>
      </c>
      <c r="B59" s="7" t="s">
        <v>28</v>
      </c>
      <c r="C59" s="7" t="s">
        <v>17</v>
      </c>
      <c r="D59" s="7" t="n">
        <v>5</v>
      </c>
      <c r="E59" s="8" t="n">
        <v>2500</v>
      </c>
      <c r="F59" s="8" t="n">
        <f aca="false">D59*E59</f>
        <v>12500</v>
      </c>
      <c r="G59" s="7" t="s">
        <v>18</v>
      </c>
      <c r="H59" s="7" t="s">
        <v>12</v>
      </c>
    </row>
    <row r="60" customFormat="false" ht="15" hidden="false" customHeight="false" outlineLevel="0" collapsed="false">
      <c r="A60" s="3" t="n">
        <v>46220</v>
      </c>
      <c r="B60" s="4" t="s">
        <v>9</v>
      </c>
      <c r="C60" s="4" t="s">
        <v>10</v>
      </c>
      <c r="D60" s="4" t="n">
        <v>4</v>
      </c>
      <c r="E60" s="5" t="n">
        <v>300</v>
      </c>
      <c r="F60" s="5" t="n">
        <f aca="false">D60*E60</f>
        <v>1200</v>
      </c>
      <c r="G60" s="4" t="s">
        <v>18</v>
      </c>
      <c r="H60" s="4" t="s">
        <v>21</v>
      </c>
    </row>
    <row r="61" customFormat="false" ht="15" hidden="false" customHeight="false" outlineLevel="0" collapsed="false">
      <c r="A61" s="6" t="n">
        <v>46221</v>
      </c>
      <c r="B61" s="7" t="s">
        <v>16</v>
      </c>
      <c r="C61" s="7" t="s">
        <v>17</v>
      </c>
      <c r="D61" s="7" t="n">
        <v>10</v>
      </c>
      <c r="E61" s="8" t="n">
        <v>1200</v>
      </c>
      <c r="F61" s="8" t="n">
        <f aca="false">D61*E61</f>
        <v>12000</v>
      </c>
      <c r="G61" s="7" t="s">
        <v>11</v>
      </c>
      <c r="H61" s="7" t="s">
        <v>15</v>
      </c>
    </row>
    <row r="62" customFormat="false" ht="15" hidden="false" customHeight="false" outlineLevel="0" collapsed="false">
      <c r="A62" s="3" t="n">
        <v>46222</v>
      </c>
      <c r="B62" s="4" t="s">
        <v>31</v>
      </c>
      <c r="C62" s="4" t="s">
        <v>17</v>
      </c>
      <c r="D62" s="4" t="n">
        <v>7</v>
      </c>
      <c r="E62" s="5" t="n">
        <v>800</v>
      </c>
      <c r="F62" s="5" t="n">
        <f aca="false">D62*E62</f>
        <v>5600</v>
      </c>
      <c r="G62" s="4" t="s">
        <v>30</v>
      </c>
      <c r="H62" s="4" t="s">
        <v>12</v>
      </c>
    </row>
    <row r="63" customFormat="false" ht="15" hidden="false" customHeight="false" outlineLevel="0" collapsed="false">
      <c r="A63" s="6" t="n">
        <v>46222</v>
      </c>
      <c r="B63" s="7" t="s">
        <v>16</v>
      </c>
      <c r="C63" s="7" t="s">
        <v>17</v>
      </c>
      <c r="D63" s="7" t="n">
        <v>11</v>
      </c>
      <c r="E63" s="8" t="n">
        <v>1200</v>
      </c>
      <c r="F63" s="8" t="n">
        <f aca="false">D63*E63</f>
        <v>13200</v>
      </c>
      <c r="G63" s="7" t="s">
        <v>11</v>
      </c>
      <c r="H63" s="7" t="s">
        <v>15</v>
      </c>
    </row>
    <row r="64" customFormat="false" ht="15" hidden="false" customHeight="false" outlineLevel="0" collapsed="false">
      <c r="A64" s="3" t="n">
        <v>46226</v>
      </c>
      <c r="B64" s="4" t="s">
        <v>16</v>
      </c>
      <c r="C64" s="4" t="s">
        <v>17</v>
      </c>
      <c r="D64" s="4" t="n">
        <v>12</v>
      </c>
      <c r="E64" s="5" t="n">
        <v>1200</v>
      </c>
      <c r="F64" s="5" t="n">
        <f aca="false">D64*E64</f>
        <v>14400</v>
      </c>
      <c r="G64" s="4" t="s">
        <v>30</v>
      </c>
      <c r="H64" s="4" t="s">
        <v>15</v>
      </c>
    </row>
    <row r="65" customFormat="false" ht="15" hidden="false" customHeight="false" outlineLevel="0" collapsed="false">
      <c r="A65" s="6" t="n">
        <v>46237</v>
      </c>
      <c r="B65" s="7" t="s">
        <v>16</v>
      </c>
      <c r="C65" s="7" t="s">
        <v>17</v>
      </c>
      <c r="D65" s="7" t="n">
        <v>7</v>
      </c>
      <c r="E65" s="8" t="n">
        <v>1200</v>
      </c>
      <c r="F65" s="8" t="n">
        <f aca="false">D65*E65</f>
        <v>8400</v>
      </c>
      <c r="G65" s="7" t="s">
        <v>11</v>
      </c>
      <c r="H65" s="7" t="s">
        <v>21</v>
      </c>
    </row>
    <row r="66" customFormat="false" ht="15" hidden="false" customHeight="false" outlineLevel="0" collapsed="false">
      <c r="A66" s="3" t="n">
        <v>46238</v>
      </c>
      <c r="B66" s="4" t="s">
        <v>29</v>
      </c>
      <c r="C66" s="4" t="s">
        <v>23</v>
      </c>
      <c r="D66" s="4" t="n">
        <v>8</v>
      </c>
      <c r="E66" s="5" t="n">
        <v>12000</v>
      </c>
      <c r="F66" s="5" t="n">
        <f aca="false">D66*E66</f>
        <v>96000</v>
      </c>
      <c r="G66" s="4" t="s">
        <v>20</v>
      </c>
      <c r="H66" s="4" t="s">
        <v>12</v>
      </c>
    </row>
    <row r="67" customFormat="false" ht="15" hidden="false" customHeight="false" outlineLevel="0" collapsed="false">
      <c r="A67" s="6" t="n">
        <v>46239</v>
      </c>
      <c r="B67" s="7" t="s">
        <v>19</v>
      </c>
      <c r="C67" s="7" t="s">
        <v>10</v>
      </c>
      <c r="D67" s="7" t="n">
        <v>11</v>
      </c>
      <c r="E67" s="8" t="n">
        <v>900</v>
      </c>
      <c r="F67" s="8" t="n">
        <f aca="false">D67*E67</f>
        <v>9900</v>
      </c>
      <c r="G67" s="7" t="s">
        <v>20</v>
      </c>
      <c r="H67" s="7" t="s">
        <v>21</v>
      </c>
    </row>
    <row r="68" customFormat="false" ht="15" hidden="false" customHeight="false" outlineLevel="0" collapsed="false">
      <c r="A68" s="3" t="n">
        <v>46243</v>
      </c>
      <c r="B68" s="4" t="s">
        <v>27</v>
      </c>
      <c r="C68" s="4" t="s">
        <v>23</v>
      </c>
      <c r="D68" s="4" t="n">
        <v>10</v>
      </c>
      <c r="E68" s="5" t="n">
        <v>15000</v>
      </c>
      <c r="F68" s="5" t="n">
        <f aca="false">D68*E68</f>
        <v>150000</v>
      </c>
      <c r="G68" s="4" t="s">
        <v>30</v>
      </c>
      <c r="H68" s="4" t="s">
        <v>12</v>
      </c>
    </row>
    <row r="69" customFormat="false" ht="15" hidden="false" customHeight="false" outlineLevel="0" collapsed="false">
      <c r="A69" s="6" t="n">
        <v>46244</v>
      </c>
      <c r="B69" s="7" t="s">
        <v>28</v>
      </c>
      <c r="C69" s="7" t="s">
        <v>17</v>
      </c>
      <c r="D69" s="7" t="n">
        <v>8</v>
      </c>
      <c r="E69" s="8" t="n">
        <v>2500</v>
      </c>
      <c r="F69" s="8" t="n">
        <f aca="false">D69*E69</f>
        <v>20000</v>
      </c>
      <c r="G69" s="7" t="s">
        <v>20</v>
      </c>
      <c r="H69" s="7" t="s">
        <v>12</v>
      </c>
    </row>
    <row r="70" customFormat="false" ht="15" hidden="false" customHeight="false" outlineLevel="0" collapsed="false">
      <c r="A70" s="3" t="n">
        <v>46245</v>
      </c>
      <c r="B70" s="4" t="s">
        <v>29</v>
      </c>
      <c r="C70" s="4" t="s">
        <v>23</v>
      </c>
      <c r="D70" s="4" t="n">
        <v>10</v>
      </c>
      <c r="E70" s="5" t="n">
        <v>12000</v>
      </c>
      <c r="F70" s="5" t="n">
        <f aca="false">D70*E70</f>
        <v>120000</v>
      </c>
      <c r="G70" s="4" t="s">
        <v>30</v>
      </c>
      <c r="H70" s="4" t="s">
        <v>15</v>
      </c>
    </row>
    <row r="71" customFormat="false" ht="15" hidden="false" customHeight="false" outlineLevel="0" collapsed="false">
      <c r="A71" s="6" t="n">
        <v>46246</v>
      </c>
      <c r="B71" s="7" t="s">
        <v>27</v>
      </c>
      <c r="C71" s="7" t="s">
        <v>23</v>
      </c>
      <c r="D71" s="7" t="n">
        <v>12</v>
      </c>
      <c r="E71" s="8" t="n">
        <v>15000</v>
      </c>
      <c r="F71" s="8" t="n">
        <f aca="false">D71*E71</f>
        <v>180000</v>
      </c>
      <c r="G71" s="7" t="s">
        <v>14</v>
      </c>
      <c r="H71" s="7" t="s">
        <v>15</v>
      </c>
    </row>
    <row r="72" customFormat="false" ht="15" hidden="false" customHeight="false" outlineLevel="0" collapsed="false">
      <c r="A72" s="3" t="n">
        <v>46247</v>
      </c>
      <c r="B72" s="4" t="s">
        <v>31</v>
      </c>
      <c r="C72" s="4" t="s">
        <v>17</v>
      </c>
      <c r="D72" s="4" t="n">
        <v>7</v>
      </c>
      <c r="E72" s="5" t="n">
        <v>800</v>
      </c>
      <c r="F72" s="5" t="n">
        <f aca="false">D72*E72</f>
        <v>5600</v>
      </c>
      <c r="G72" s="4" t="s">
        <v>14</v>
      </c>
      <c r="H72" s="4" t="s">
        <v>12</v>
      </c>
    </row>
    <row r="73" customFormat="false" ht="15" hidden="false" customHeight="false" outlineLevel="0" collapsed="false">
      <c r="A73" s="6" t="n">
        <v>46254</v>
      </c>
      <c r="B73" s="7" t="s">
        <v>31</v>
      </c>
      <c r="C73" s="7" t="s">
        <v>17</v>
      </c>
      <c r="D73" s="7" t="n">
        <v>4</v>
      </c>
      <c r="E73" s="8" t="n">
        <v>800</v>
      </c>
      <c r="F73" s="8" t="n">
        <f aca="false">D73*E73</f>
        <v>3200</v>
      </c>
      <c r="G73" s="7" t="s">
        <v>18</v>
      </c>
      <c r="H73" s="7" t="s">
        <v>15</v>
      </c>
    </row>
    <row r="74" customFormat="false" ht="15" hidden="false" customHeight="false" outlineLevel="0" collapsed="false">
      <c r="A74" s="3" t="n">
        <v>46260</v>
      </c>
      <c r="B74" s="4" t="s">
        <v>24</v>
      </c>
      <c r="C74" s="4" t="s">
        <v>25</v>
      </c>
      <c r="D74" s="4" t="n">
        <v>8</v>
      </c>
      <c r="E74" s="5" t="n">
        <v>3500</v>
      </c>
      <c r="F74" s="5" t="n">
        <f aca="false">D74*E74</f>
        <v>28000</v>
      </c>
      <c r="G74" s="4" t="s">
        <v>20</v>
      </c>
      <c r="H74" s="4" t="s">
        <v>12</v>
      </c>
    </row>
    <row r="75" customFormat="false" ht="15" hidden="false" customHeight="false" outlineLevel="0" collapsed="false">
      <c r="A75" s="6" t="n">
        <v>46261</v>
      </c>
      <c r="B75" s="7" t="s">
        <v>27</v>
      </c>
      <c r="C75" s="7" t="s">
        <v>23</v>
      </c>
      <c r="D75" s="7" t="n">
        <v>7</v>
      </c>
      <c r="E75" s="8" t="n">
        <v>15000</v>
      </c>
      <c r="F75" s="8" t="n">
        <f aca="false">D75*E75</f>
        <v>105000</v>
      </c>
      <c r="G75" s="7" t="s">
        <v>20</v>
      </c>
      <c r="H75" s="7" t="s">
        <v>21</v>
      </c>
    </row>
    <row r="76" customFormat="false" ht="15" hidden="false" customHeight="false" outlineLevel="0" collapsed="false">
      <c r="A76" s="3" t="n">
        <v>46266</v>
      </c>
      <c r="B76" s="4" t="s">
        <v>26</v>
      </c>
      <c r="C76" s="4" t="s">
        <v>25</v>
      </c>
      <c r="D76" s="4" t="n">
        <v>12</v>
      </c>
      <c r="E76" s="5" t="n">
        <v>4200</v>
      </c>
      <c r="F76" s="5" t="n">
        <f aca="false">D76*E76</f>
        <v>50400</v>
      </c>
      <c r="G76" s="4" t="s">
        <v>18</v>
      </c>
      <c r="H76" s="4" t="s">
        <v>12</v>
      </c>
    </row>
    <row r="77" customFormat="false" ht="15" hidden="false" customHeight="false" outlineLevel="0" collapsed="false">
      <c r="A77" s="6" t="n">
        <v>46267</v>
      </c>
      <c r="B77" s="7" t="s">
        <v>22</v>
      </c>
      <c r="C77" s="7" t="s">
        <v>23</v>
      </c>
      <c r="D77" s="7" t="n">
        <v>8</v>
      </c>
      <c r="E77" s="8" t="n">
        <v>9500</v>
      </c>
      <c r="F77" s="8" t="n">
        <f aca="false">D77*E77</f>
        <v>76000</v>
      </c>
      <c r="G77" s="7" t="s">
        <v>11</v>
      </c>
      <c r="H77" s="7" t="s">
        <v>21</v>
      </c>
    </row>
    <row r="78" customFormat="false" ht="15" hidden="false" customHeight="false" outlineLevel="0" collapsed="false">
      <c r="A78" s="3" t="n">
        <v>46269</v>
      </c>
      <c r="B78" s="4" t="s">
        <v>32</v>
      </c>
      <c r="C78" s="4" t="s">
        <v>25</v>
      </c>
      <c r="D78" s="4" t="n">
        <v>9</v>
      </c>
      <c r="E78" s="5" t="n">
        <v>6500</v>
      </c>
      <c r="F78" s="5" t="n">
        <f aca="false">D78*E78</f>
        <v>58500</v>
      </c>
      <c r="G78" s="4" t="s">
        <v>30</v>
      </c>
      <c r="H78" s="4" t="s">
        <v>15</v>
      </c>
    </row>
    <row r="79" customFormat="false" ht="15" hidden="false" customHeight="false" outlineLevel="0" collapsed="false">
      <c r="A79" s="6" t="n">
        <v>46270</v>
      </c>
      <c r="B79" s="7" t="s">
        <v>19</v>
      </c>
      <c r="C79" s="7" t="s">
        <v>10</v>
      </c>
      <c r="D79" s="7" t="n">
        <v>3</v>
      </c>
      <c r="E79" s="8" t="n">
        <v>900</v>
      </c>
      <c r="F79" s="8" t="n">
        <f aca="false">D79*E79</f>
        <v>2700</v>
      </c>
      <c r="G79" s="7" t="s">
        <v>18</v>
      </c>
      <c r="H79" s="7" t="s">
        <v>12</v>
      </c>
    </row>
    <row r="80" customFormat="false" ht="15" hidden="false" customHeight="false" outlineLevel="0" collapsed="false">
      <c r="A80" s="3" t="n">
        <v>46271</v>
      </c>
      <c r="B80" s="4" t="s">
        <v>13</v>
      </c>
      <c r="C80" s="4" t="s">
        <v>10</v>
      </c>
      <c r="D80" s="4" t="n">
        <v>12</v>
      </c>
      <c r="E80" s="5" t="n">
        <v>450</v>
      </c>
      <c r="F80" s="5" t="n">
        <f aca="false">D80*E80</f>
        <v>5400</v>
      </c>
      <c r="G80" s="4" t="s">
        <v>20</v>
      </c>
      <c r="H80" s="4" t="s">
        <v>21</v>
      </c>
    </row>
    <row r="81" customFormat="false" ht="15" hidden="false" customHeight="false" outlineLevel="0" collapsed="false">
      <c r="A81" s="6" t="n">
        <v>46272</v>
      </c>
      <c r="B81" s="7" t="s">
        <v>28</v>
      </c>
      <c r="C81" s="7" t="s">
        <v>17</v>
      </c>
      <c r="D81" s="7" t="n">
        <v>8</v>
      </c>
      <c r="E81" s="8" t="n">
        <v>2500</v>
      </c>
      <c r="F81" s="8" t="n">
        <f aca="false">D81*E81</f>
        <v>20000</v>
      </c>
      <c r="G81" s="7" t="s">
        <v>11</v>
      </c>
      <c r="H81" s="7" t="s">
        <v>12</v>
      </c>
    </row>
    <row r="82" customFormat="false" ht="15" hidden="false" customHeight="false" outlineLevel="0" collapsed="false">
      <c r="A82" s="3" t="n">
        <v>46273</v>
      </c>
      <c r="B82" s="4" t="s">
        <v>16</v>
      </c>
      <c r="C82" s="4" t="s">
        <v>17</v>
      </c>
      <c r="D82" s="4" t="n">
        <v>9</v>
      </c>
      <c r="E82" s="5" t="n">
        <v>1200</v>
      </c>
      <c r="F82" s="5" t="n">
        <f aca="false">D82*E82</f>
        <v>10800</v>
      </c>
      <c r="G82" s="4" t="s">
        <v>11</v>
      </c>
      <c r="H82" s="4" t="s">
        <v>12</v>
      </c>
    </row>
    <row r="83" customFormat="false" ht="15" hidden="false" customHeight="false" outlineLevel="0" collapsed="false">
      <c r="A83" s="6" t="n">
        <v>46273</v>
      </c>
      <c r="B83" s="7" t="s">
        <v>28</v>
      </c>
      <c r="C83" s="7" t="s">
        <v>17</v>
      </c>
      <c r="D83" s="7" t="n">
        <v>2</v>
      </c>
      <c r="E83" s="8" t="n">
        <v>2500</v>
      </c>
      <c r="F83" s="8" t="n">
        <f aca="false">D83*E83</f>
        <v>5000</v>
      </c>
      <c r="G83" s="7" t="s">
        <v>18</v>
      </c>
      <c r="H83" s="7" t="s">
        <v>12</v>
      </c>
    </row>
    <row r="84" customFormat="false" ht="15" hidden="false" customHeight="false" outlineLevel="0" collapsed="false">
      <c r="A84" s="3" t="n">
        <v>46274</v>
      </c>
      <c r="B84" s="4" t="s">
        <v>26</v>
      </c>
      <c r="C84" s="4" t="s">
        <v>25</v>
      </c>
      <c r="D84" s="4" t="n">
        <v>6</v>
      </c>
      <c r="E84" s="5" t="n">
        <v>4200</v>
      </c>
      <c r="F84" s="5" t="n">
        <f aca="false">D84*E84</f>
        <v>25200</v>
      </c>
      <c r="G84" s="4" t="s">
        <v>18</v>
      </c>
      <c r="H84" s="4" t="s">
        <v>15</v>
      </c>
    </row>
    <row r="85" customFormat="false" ht="15" hidden="false" customHeight="false" outlineLevel="0" collapsed="false">
      <c r="A85" s="6" t="n">
        <v>46276</v>
      </c>
      <c r="B85" s="7" t="s">
        <v>29</v>
      </c>
      <c r="C85" s="7" t="s">
        <v>23</v>
      </c>
      <c r="D85" s="7" t="n">
        <v>1</v>
      </c>
      <c r="E85" s="8" t="n">
        <v>12000</v>
      </c>
      <c r="F85" s="8" t="n">
        <f aca="false">D85*E85</f>
        <v>12000</v>
      </c>
      <c r="G85" s="7" t="s">
        <v>11</v>
      </c>
      <c r="H85" s="7" t="s">
        <v>12</v>
      </c>
    </row>
    <row r="86" customFormat="false" ht="15" hidden="false" customHeight="false" outlineLevel="0" collapsed="false">
      <c r="A86" s="3" t="n">
        <v>46277</v>
      </c>
      <c r="B86" s="4" t="s">
        <v>9</v>
      </c>
      <c r="C86" s="4" t="s">
        <v>10</v>
      </c>
      <c r="D86" s="4" t="n">
        <v>11</v>
      </c>
      <c r="E86" s="5" t="n">
        <v>300</v>
      </c>
      <c r="F86" s="5" t="n">
        <f aca="false">D86*E86</f>
        <v>3300</v>
      </c>
      <c r="G86" s="4" t="s">
        <v>18</v>
      </c>
      <c r="H86" s="4" t="s">
        <v>15</v>
      </c>
    </row>
    <row r="87" customFormat="false" ht="15" hidden="false" customHeight="false" outlineLevel="0" collapsed="false">
      <c r="A87" s="6" t="n">
        <v>46281</v>
      </c>
      <c r="B87" s="7" t="s">
        <v>26</v>
      </c>
      <c r="C87" s="7" t="s">
        <v>25</v>
      </c>
      <c r="D87" s="7" t="n">
        <v>6</v>
      </c>
      <c r="E87" s="8" t="n">
        <v>4200</v>
      </c>
      <c r="F87" s="8" t="n">
        <f aca="false">D87*E87</f>
        <v>25200</v>
      </c>
      <c r="G87" s="7" t="s">
        <v>20</v>
      </c>
      <c r="H87" s="7" t="s">
        <v>21</v>
      </c>
    </row>
    <row r="88" customFormat="false" ht="15" hidden="false" customHeight="false" outlineLevel="0" collapsed="false">
      <c r="A88" s="3" t="n">
        <v>46283</v>
      </c>
      <c r="B88" s="4" t="s">
        <v>16</v>
      </c>
      <c r="C88" s="4" t="s">
        <v>17</v>
      </c>
      <c r="D88" s="4" t="n">
        <v>4</v>
      </c>
      <c r="E88" s="5" t="n">
        <v>1200</v>
      </c>
      <c r="F88" s="5" t="n">
        <f aca="false">D88*E88</f>
        <v>4800</v>
      </c>
      <c r="G88" s="4" t="s">
        <v>14</v>
      </c>
      <c r="H88" s="4" t="s">
        <v>21</v>
      </c>
    </row>
    <row r="89" customFormat="false" ht="15" hidden="false" customHeight="false" outlineLevel="0" collapsed="false">
      <c r="A89" s="6" t="n">
        <v>46285</v>
      </c>
      <c r="B89" s="7" t="s">
        <v>32</v>
      </c>
      <c r="C89" s="7" t="s">
        <v>25</v>
      </c>
      <c r="D89" s="7" t="n">
        <v>2</v>
      </c>
      <c r="E89" s="8" t="n">
        <v>6500</v>
      </c>
      <c r="F89" s="8" t="n">
        <f aca="false">D89*E89</f>
        <v>13000</v>
      </c>
      <c r="G89" s="7" t="s">
        <v>11</v>
      </c>
      <c r="H89" s="7" t="s">
        <v>12</v>
      </c>
    </row>
    <row r="90" customFormat="false" ht="15" hidden="false" customHeight="false" outlineLevel="0" collapsed="false">
      <c r="A90" s="3" t="n">
        <v>46288</v>
      </c>
      <c r="B90" s="4" t="s">
        <v>29</v>
      </c>
      <c r="C90" s="4" t="s">
        <v>23</v>
      </c>
      <c r="D90" s="4" t="n">
        <v>7</v>
      </c>
      <c r="E90" s="5" t="n">
        <v>12000</v>
      </c>
      <c r="F90" s="5" t="n">
        <f aca="false">D90*E90</f>
        <v>84000</v>
      </c>
      <c r="G90" s="4" t="s">
        <v>20</v>
      </c>
      <c r="H90" s="4" t="s">
        <v>12</v>
      </c>
    </row>
    <row r="91" customFormat="false" ht="15" hidden="false" customHeight="false" outlineLevel="0" collapsed="false">
      <c r="A91" s="6" t="n">
        <v>46291</v>
      </c>
      <c r="B91" s="7" t="s">
        <v>32</v>
      </c>
      <c r="C91" s="7" t="s">
        <v>25</v>
      </c>
      <c r="D91" s="7" t="n">
        <v>1</v>
      </c>
      <c r="E91" s="8" t="n">
        <v>6500</v>
      </c>
      <c r="F91" s="8" t="n">
        <f aca="false">D91*E91</f>
        <v>6500</v>
      </c>
      <c r="G91" s="7" t="s">
        <v>18</v>
      </c>
      <c r="H91" s="7" t="s">
        <v>21</v>
      </c>
    </row>
    <row r="92" customFormat="false" ht="15" hidden="false" customHeight="false" outlineLevel="0" collapsed="false">
      <c r="A92" s="3" t="n">
        <v>46291</v>
      </c>
      <c r="B92" s="4" t="s">
        <v>29</v>
      </c>
      <c r="C92" s="4" t="s">
        <v>23</v>
      </c>
      <c r="D92" s="4" t="n">
        <v>6</v>
      </c>
      <c r="E92" s="5" t="n">
        <v>12000</v>
      </c>
      <c r="F92" s="5" t="n">
        <f aca="false">D92*E92</f>
        <v>72000</v>
      </c>
      <c r="G92" s="4" t="s">
        <v>30</v>
      </c>
      <c r="H92" s="4" t="s">
        <v>12</v>
      </c>
    </row>
    <row r="93" customFormat="false" ht="15" hidden="false" customHeight="false" outlineLevel="0" collapsed="false">
      <c r="A93" s="6" t="n">
        <v>46292</v>
      </c>
      <c r="B93" s="7" t="s">
        <v>22</v>
      </c>
      <c r="C93" s="7" t="s">
        <v>23</v>
      </c>
      <c r="D93" s="7" t="n">
        <v>11</v>
      </c>
      <c r="E93" s="8" t="n">
        <v>9500</v>
      </c>
      <c r="F93" s="8" t="n">
        <f aca="false">D93*E93</f>
        <v>104500</v>
      </c>
      <c r="G93" s="7" t="s">
        <v>14</v>
      </c>
      <c r="H93" s="7" t="s">
        <v>21</v>
      </c>
    </row>
  </sheetData>
  <autoFilter ref="A3:H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9" t="s">
        <v>33</v>
      </c>
    </row>
    <row r="2" customFormat="false" ht="15" hidden="false" customHeight="false" outlineLevel="0" collapsed="false">
      <c r="A2" s="1" t="s">
        <v>34</v>
      </c>
    </row>
    <row r="4" customFormat="false" ht="15" hidden="false" customHeight="false" outlineLevel="0" collapsed="false">
      <c r="A4" s="10" t="s">
        <v>35</v>
      </c>
      <c r="B4" s="2" t="s">
        <v>6</v>
      </c>
      <c r="C4" s="2" t="s">
        <v>36</v>
      </c>
      <c r="D4" s="2" t="s">
        <v>37</v>
      </c>
    </row>
    <row r="5" customFormat="false" ht="15" hidden="false" customHeight="false" outlineLevel="0" collapsed="false">
      <c r="A5" s="11" t="s">
        <v>10</v>
      </c>
      <c r="B5" s="12" t="n">
        <f aca="false">SUMIFS('Sales data'!$F$4:$F$93,'Sales data'!$C$4:$C$93,$A5)</f>
        <v>102750</v>
      </c>
      <c r="C5" s="12" t="n">
        <f aca="false">SUMIFS('Sales data'!$D$4:$D$93,'Sales data'!$C$4:$C$93,$A5)</f>
        <v>167</v>
      </c>
      <c r="D5" s="11" t="n">
        <f aca="false">COUNTIFS('Sales data'!$C$4:$C$93,$A5)</f>
        <v>23</v>
      </c>
    </row>
    <row r="6" customFormat="false" ht="15" hidden="false" customHeight="false" outlineLevel="0" collapsed="false">
      <c r="A6" s="11" t="s">
        <v>17</v>
      </c>
      <c r="B6" s="12" t="n">
        <f aca="false">SUMIFS('Sales data'!$F$4:$F$93,'Sales data'!$C$4:$C$93,$A6)</f>
        <v>314800</v>
      </c>
      <c r="C6" s="12" t="n">
        <f aca="false">SUMIFS('Sales data'!$D$4:$D$93,'Sales data'!$C$4:$C$93,$A6)</f>
        <v>181</v>
      </c>
      <c r="D6" s="11" t="n">
        <f aca="false">COUNTIFS('Sales data'!$C$4:$C$93,$A6)</f>
        <v>23</v>
      </c>
    </row>
    <row r="7" customFormat="false" ht="15" hidden="false" customHeight="false" outlineLevel="0" collapsed="false">
      <c r="A7" s="11" t="s">
        <v>23</v>
      </c>
      <c r="B7" s="12" t="n">
        <f aca="false">SUMIFS('Sales data'!$F$4:$F$93,'Sales data'!$C$4:$C$93,$A7)</f>
        <v>1850500</v>
      </c>
      <c r="C7" s="12" t="n">
        <f aca="false">SUMIFS('Sales data'!$D$4:$D$93,'Sales data'!$C$4:$C$93,$A7)</f>
        <v>147</v>
      </c>
      <c r="D7" s="11" t="n">
        <f aca="false">COUNTIFS('Sales data'!$C$4:$C$93,$A7)</f>
        <v>22</v>
      </c>
    </row>
    <row r="8" customFormat="false" ht="15" hidden="false" customHeight="false" outlineLevel="0" collapsed="false">
      <c r="A8" s="11" t="s">
        <v>25</v>
      </c>
      <c r="B8" s="12" t="n">
        <f aca="false">SUMIFS('Sales data'!$F$4:$F$93,'Sales data'!$C$4:$C$93,$A8)</f>
        <v>522100</v>
      </c>
      <c r="C8" s="12" t="n">
        <f aca="false">SUMIFS('Sales data'!$D$4:$D$93,'Sales data'!$C$4:$C$93,$A8)</f>
        <v>118</v>
      </c>
      <c r="D8" s="11" t="n">
        <f aca="false">COUNTIFS('Sales data'!$C$4:$C$93,$A8)</f>
        <v>22</v>
      </c>
    </row>
    <row r="9" customFormat="false" ht="15" hidden="false" customHeight="false" outlineLevel="0" collapsed="false">
      <c r="A9" s="13" t="s">
        <v>38</v>
      </c>
      <c r="B9" s="14" t="n">
        <f aca="false">SUM(B5:B8)</f>
        <v>2790150</v>
      </c>
      <c r="C9" s="14" t="n">
        <f aca="false">SUM(C5:C8)</f>
        <v>613</v>
      </c>
      <c r="D9" s="14" t="n">
        <f aca="false">SUM(D5:D8)</f>
        <v>90</v>
      </c>
    </row>
    <row r="12" customFormat="false" ht="15" hidden="false" customHeight="false" outlineLevel="0" collapsed="false">
      <c r="A12" s="10" t="s">
        <v>39</v>
      </c>
      <c r="B12" s="2" t="s">
        <v>6</v>
      </c>
      <c r="C12" s="2" t="s">
        <v>36</v>
      </c>
      <c r="D12" s="2" t="s">
        <v>37</v>
      </c>
    </row>
    <row r="13" customFormat="false" ht="15" hidden="false" customHeight="false" outlineLevel="0" collapsed="false">
      <c r="A13" s="11" t="s">
        <v>18</v>
      </c>
      <c r="B13" s="12" t="n">
        <f aca="false">SUMIFS('Sales data'!$F$4:$F$93,'Sales data'!$G$4:$G$93,$A13)</f>
        <v>544200</v>
      </c>
      <c r="C13" s="12" t="n">
        <f aca="false">SUMIFS('Sales data'!$D$4:$D$93,'Sales data'!$G$4:$G$93,$A13)</f>
        <v>162</v>
      </c>
      <c r="D13" s="11" t="n">
        <f aca="false">COUNTIFS('Sales data'!$G$4:$G$93,$A13)</f>
        <v>24</v>
      </c>
    </row>
    <row r="14" customFormat="false" ht="15" hidden="false" customHeight="false" outlineLevel="0" collapsed="false">
      <c r="A14" s="11" t="s">
        <v>20</v>
      </c>
      <c r="B14" s="12" t="n">
        <f aca="false">SUMIFS('Sales data'!$F$4:$F$93,'Sales data'!$G$4:$G$93,$A14)</f>
        <v>429100</v>
      </c>
      <c r="C14" s="12" t="n">
        <f aca="false">SUMIFS('Sales data'!$D$4:$D$93,'Sales data'!$G$4:$G$93,$A14)</f>
        <v>92</v>
      </c>
      <c r="D14" s="11" t="n">
        <f aca="false">COUNTIFS('Sales data'!$G$4:$G$93,$A14)</f>
        <v>13</v>
      </c>
    </row>
    <row r="15" customFormat="false" ht="15" hidden="false" customHeight="false" outlineLevel="0" collapsed="false">
      <c r="A15" s="11" t="s">
        <v>11</v>
      </c>
      <c r="B15" s="12" t="n">
        <f aca="false">SUMIFS('Sales data'!$F$4:$F$93,'Sales data'!$G$4:$G$93,$A15)</f>
        <v>677200</v>
      </c>
      <c r="C15" s="12" t="n">
        <f aca="false">SUMIFS('Sales data'!$D$4:$D$93,'Sales data'!$G$4:$G$93,$A15)</f>
        <v>168</v>
      </c>
      <c r="D15" s="11" t="n">
        <f aca="false">COUNTIFS('Sales data'!$G$4:$G$93,$A15)</f>
        <v>25</v>
      </c>
    </row>
    <row r="16" customFormat="false" ht="15" hidden="false" customHeight="false" outlineLevel="0" collapsed="false">
      <c r="A16" s="11" t="s">
        <v>14</v>
      </c>
      <c r="B16" s="12" t="n">
        <f aca="false">SUMIFS('Sales data'!$F$4:$F$93,'Sales data'!$G$4:$G$93,$A16)</f>
        <v>379450</v>
      </c>
      <c r="C16" s="12" t="n">
        <f aca="false">SUMIFS('Sales data'!$D$4:$D$93,'Sales data'!$G$4:$G$93,$A16)</f>
        <v>83</v>
      </c>
      <c r="D16" s="11" t="n">
        <f aca="false">COUNTIFS('Sales data'!$G$4:$G$93,$A16)</f>
        <v>14</v>
      </c>
    </row>
    <row r="17" customFormat="false" ht="15" hidden="false" customHeight="false" outlineLevel="0" collapsed="false">
      <c r="A17" s="11" t="s">
        <v>30</v>
      </c>
      <c r="B17" s="12" t="n">
        <f aca="false">SUMIFS('Sales data'!$F$4:$F$93,'Sales data'!$G$4:$G$93,$A17)</f>
        <v>760200</v>
      </c>
      <c r="C17" s="12" t="n">
        <f aca="false">SUMIFS('Sales data'!$D$4:$D$93,'Sales data'!$G$4:$G$93,$A17)</f>
        <v>108</v>
      </c>
      <c r="D17" s="11" t="n">
        <f aca="false">COUNTIFS('Sales data'!$G$4:$G$93,$A17)</f>
        <v>14</v>
      </c>
    </row>
    <row r="18" customFormat="false" ht="15" hidden="false" customHeight="false" outlineLevel="0" collapsed="false">
      <c r="A18" s="13" t="s">
        <v>38</v>
      </c>
      <c r="B18" s="14" t="n">
        <f aca="false">SUM(B13:B17)</f>
        <v>2790150</v>
      </c>
      <c r="C18" s="14" t="n">
        <f aca="false">SUM(C13:C17)</f>
        <v>613</v>
      </c>
      <c r="D18" s="14" t="n">
        <f aca="false">SUM(D13:D17)</f>
        <v>90</v>
      </c>
    </row>
    <row r="20" customFormat="false" ht="15" hidden="false" customHeight="false" outlineLevel="0" collapsed="false">
      <c r="A20" s="13" t="s">
        <v>40</v>
      </c>
      <c r="B20" s="15" t="n">
        <f aca="false">B9/D9</f>
        <v>31001.6666666667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</row>
    <row r="4" customFormat="false" ht="15" hidden="false" customHeight="false" outlineLevel="0" collapsed="false">
      <c r="A4" s="11" t="n">
        <f aca="false">ROW()-3</f>
        <v>1</v>
      </c>
      <c r="B4" s="11" t="s">
        <v>48</v>
      </c>
      <c r="C4" s="11" t="s">
        <v>49</v>
      </c>
      <c r="D4" s="11" t="s">
        <v>50</v>
      </c>
      <c r="E4" s="11" t="s">
        <v>18</v>
      </c>
      <c r="F4" s="11" t="s">
        <v>51</v>
      </c>
    </row>
    <row r="5" customFormat="false" ht="15" hidden="false" customHeight="false" outlineLevel="0" collapsed="false">
      <c r="A5" s="11" t="n">
        <f aca="false">ROW()-3</f>
        <v>2</v>
      </c>
      <c r="B5" s="11" t="s">
        <v>52</v>
      </c>
      <c r="C5" s="11" t="s">
        <v>53</v>
      </c>
      <c r="D5" s="11" t="s">
        <v>54</v>
      </c>
      <c r="E5" s="11" t="s">
        <v>20</v>
      </c>
      <c r="F5" s="11" t="s">
        <v>51</v>
      </c>
    </row>
    <row r="6" customFormat="false" ht="15" hidden="false" customHeight="false" outlineLevel="0" collapsed="false">
      <c r="A6" s="11" t="n">
        <f aca="false">ROW()-3</f>
        <v>3</v>
      </c>
      <c r="B6" s="11" t="s">
        <v>55</v>
      </c>
      <c r="C6" s="11" t="s">
        <v>56</v>
      </c>
      <c r="D6" s="11" t="s">
        <v>57</v>
      </c>
      <c r="E6" s="11" t="s">
        <v>11</v>
      </c>
      <c r="F6" s="11" t="s">
        <v>51</v>
      </c>
    </row>
    <row r="7" customFormat="false" ht="15" hidden="false" customHeight="false" outlineLevel="0" collapsed="false">
      <c r="A7" s="11" t="n">
        <f aca="false">ROW()-3</f>
        <v>4</v>
      </c>
      <c r="B7" s="11" t="s">
        <v>58</v>
      </c>
      <c r="C7" s="11" t="s">
        <v>59</v>
      </c>
      <c r="D7" s="11" t="s">
        <v>60</v>
      </c>
      <c r="E7" s="11" t="s">
        <v>61</v>
      </c>
      <c r="F7" s="11" t="s">
        <v>62</v>
      </c>
    </row>
    <row r="8" customFormat="false" ht="15" hidden="false" customHeight="false" outlineLevel="0" collapsed="false">
      <c r="A8" s="11" t="n">
        <f aca="false">ROW()-3</f>
        <v>5</v>
      </c>
      <c r="B8" s="11" t="s">
        <v>63</v>
      </c>
      <c r="C8" s="11" t="s">
        <v>64</v>
      </c>
      <c r="D8" s="11" t="s">
        <v>65</v>
      </c>
      <c r="E8" s="11" t="s">
        <v>18</v>
      </c>
      <c r="F8" s="11" t="s">
        <v>51</v>
      </c>
    </row>
    <row r="9" customFormat="false" ht="15" hidden="false" customHeight="false" outlineLevel="0" collapsed="false">
      <c r="A9" s="11" t="n">
        <f aca="false">ROW()-3</f>
        <v>6</v>
      </c>
      <c r="B9" s="11" t="s">
        <v>66</v>
      </c>
      <c r="C9" s="11" t="s">
        <v>67</v>
      </c>
      <c r="D9" s="11" t="s">
        <v>68</v>
      </c>
      <c r="E9" s="11" t="s">
        <v>30</v>
      </c>
      <c r="F9" s="11" t="s">
        <v>51</v>
      </c>
    </row>
    <row r="10" customFormat="false" ht="15" hidden="false" customHeight="false" outlineLevel="0" collapsed="false">
      <c r="A10" s="11" t="n">
        <f aca="false">ROW()-3</f>
        <v>7</v>
      </c>
      <c r="B10" s="11" t="s">
        <v>69</v>
      </c>
      <c r="C10" s="11" t="s">
        <v>70</v>
      </c>
      <c r="D10" s="11" t="s">
        <v>71</v>
      </c>
      <c r="E10" s="11" t="s">
        <v>11</v>
      </c>
      <c r="F10" s="11" t="s">
        <v>51</v>
      </c>
    </row>
    <row r="11" customFormat="false" ht="15" hidden="false" customHeight="false" outlineLevel="0" collapsed="false">
      <c r="A11" s="11" t="n">
        <f aca="false">ROW()-3</f>
        <v>8</v>
      </c>
      <c r="B11" s="11" t="s">
        <v>72</v>
      </c>
      <c r="C11" s="11" t="s">
        <v>73</v>
      </c>
      <c r="D11" s="11" t="s">
        <v>74</v>
      </c>
      <c r="E11" s="11" t="s">
        <v>20</v>
      </c>
      <c r="F11" s="11" t="s">
        <v>51</v>
      </c>
    </row>
    <row r="12" customFormat="false" ht="15" hidden="false" customHeight="false" outlineLevel="0" collapsed="false">
      <c r="A12" s="11" t="n">
        <f aca="false">ROW()-3</f>
        <v>9</v>
      </c>
      <c r="B12" s="11" t="s">
        <v>75</v>
      </c>
      <c r="C12" s="11" t="s">
        <v>76</v>
      </c>
      <c r="D12" s="11" t="s">
        <v>77</v>
      </c>
      <c r="E12" s="11" t="s">
        <v>18</v>
      </c>
      <c r="F12" s="11" t="s">
        <v>62</v>
      </c>
    </row>
    <row r="13" customFormat="false" ht="15" hidden="false" customHeight="false" outlineLevel="0" collapsed="false">
      <c r="A13" s="11" t="n">
        <f aca="false">ROW()-3</f>
        <v>10</v>
      </c>
      <c r="B13" s="11" t="s">
        <v>78</v>
      </c>
      <c r="C13" s="11" t="s">
        <v>79</v>
      </c>
      <c r="D13" s="11" t="s">
        <v>80</v>
      </c>
      <c r="E13" s="11" t="s">
        <v>20</v>
      </c>
      <c r="F13" s="11" t="s">
        <v>51</v>
      </c>
    </row>
    <row r="14" customFormat="false" ht="15" hidden="false" customHeight="false" outlineLevel="0" collapsed="false">
      <c r="A14" s="11" t="n">
        <f aca="false">ROW()-3</f>
        <v>11</v>
      </c>
      <c r="B14" s="11" t="s">
        <v>81</v>
      </c>
      <c r="C14" s="11" t="s">
        <v>82</v>
      </c>
      <c r="D14" s="11" t="s">
        <v>83</v>
      </c>
      <c r="E14" s="11" t="s">
        <v>84</v>
      </c>
      <c r="F14" s="11" t="s">
        <v>51</v>
      </c>
    </row>
    <row r="15" customFormat="false" ht="15" hidden="false" customHeight="false" outlineLevel="0" collapsed="false">
      <c r="A15" s="11" t="n">
        <f aca="false">ROW()-3</f>
        <v>12</v>
      </c>
      <c r="B15" s="11" t="s">
        <v>85</v>
      </c>
      <c r="C15" s="11" t="s">
        <v>86</v>
      </c>
      <c r="D15" s="11" t="s">
        <v>87</v>
      </c>
      <c r="E15" s="11" t="s">
        <v>88</v>
      </c>
      <c r="F15" s="11" t="s">
        <v>51</v>
      </c>
    </row>
    <row r="18" customFormat="false" ht="15" hidden="false" customHeight="false" outlineLevel="0" collapsed="false">
      <c r="B18" s="13" t="s">
        <v>89</v>
      </c>
      <c r="C18" s="13" t="n">
        <f aca="false">COUNTA(B4:B15)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2026-10-10T08:46:37Z</dcterms:created>
  <dc:creator>openpyxl</dc:creator>
  <dc:description/>
  <dc:language>en-US</dc:language>
  <cp:lastModifiedBy/>
  <dcterms:modified xsi:type="dcterms:W3CDTF">2026-10-10T08:46:38Z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